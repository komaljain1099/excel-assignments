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Excelr Assignment 1\"/>
    </mc:Choice>
  </mc:AlternateContent>
  <xr:revisionPtr revIDLastSave="0" documentId="13_ncr:1_{7F687146-2193-4EF9-9539-B9736A21009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1" sheetId="1" r:id="rId1"/>
    <sheet name="2" sheetId="2" r:id="rId2"/>
    <sheet name="Databas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9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</calcChain>
</file>

<file path=xl/sharedStrings.xml><?xml version="1.0" encoding="utf-8"?>
<sst xmlns="http://schemas.openxmlformats.org/spreadsheetml/2006/main" count="101" uniqueCount="53">
  <si>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</si>
  <si>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</si>
  <si>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</si>
  <si>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</si>
  <si>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</si>
  <si>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</si>
  <si>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</si>
  <si>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</si>
  <si>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</si>
  <si>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</si>
  <si>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</si>
  <si>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</si>
  <si>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</si>
  <si>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</si>
  <si>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</si>
  <si>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</si>
  <si>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</si>
  <si>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</si>
  <si>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</si>
  <si>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</si>
  <si>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</si>
  <si>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</si>
  <si>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>Sr. No.</t>
  </si>
  <si>
    <t>Gender</t>
  </si>
  <si>
    <t xml:space="preserve">Department </t>
  </si>
  <si>
    <t>City</t>
  </si>
  <si>
    <t>Country</t>
  </si>
  <si>
    <t>Employee Id</t>
  </si>
  <si>
    <t>Employee Name</t>
  </si>
  <si>
    <t>Submitted by</t>
  </si>
  <si>
    <t>Submitted On</t>
  </si>
  <si>
    <t>Female</t>
  </si>
  <si>
    <t>Quality</t>
  </si>
  <si>
    <t>Mumbai</t>
  </si>
  <si>
    <t>India</t>
  </si>
  <si>
    <t>ADMIN</t>
  </si>
  <si>
    <t>30-10-2023 20:43:57</t>
  </si>
  <si>
    <t>30-10-2023 20:44:22</t>
  </si>
  <si>
    <t>Operation</t>
  </si>
  <si>
    <t>30-10-2023 20:44:46</t>
  </si>
  <si>
    <t>Training</t>
  </si>
  <si>
    <t>30-10-2023 20:45:14</t>
  </si>
  <si>
    <t>Komal jain</t>
  </si>
  <si>
    <t>Kashish jain</t>
  </si>
  <si>
    <t>Khushi Jain</t>
  </si>
  <si>
    <t>Bhumika Jain</t>
  </si>
  <si>
    <t>Male</t>
  </si>
  <si>
    <t>31-10-2023 00:21:27</t>
  </si>
  <si>
    <t>Jainam jain</t>
  </si>
  <si>
    <t>Lokesh Jain</t>
  </si>
  <si>
    <t>Oakville</t>
  </si>
  <si>
    <t>Canada</t>
  </si>
  <si>
    <t>31-10-2023 15:16:05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</si>
</sst>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4" fillId="2" borderId="1" xfId="0" applyFont="1" applyFill="1" applyBorder="1"/>
    <xf numFmtId="0" fontId="0" fillId="0" borderId="1" xfId="0" applyBorder="1"/>
  </cellXfs>
  <cellStyles count="2">
    <cellStyle name="Normal" xfId="0" builtinId="0"/>
    <cellStyle name="Percent" xfId="1" builtinId="5"/>
  </cellStyles>
  <dxfs count="3">
    <dxf>
      <numFmt numFmtId="164" formatCode="0.0%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10</xdr:row>
      <xdr:rowOff>57150</xdr:rowOff>
    </xdr:from>
    <xdr:to>
      <xdr:col>12</xdr:col>
      <xdr:colOff>95250</xdr:colOff>
      <xdr:row>14</xdr:row>
      <xdr:rowOff>76200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6B276DD-313C-34CC-54C7-E36E6AD9FCE4}"/>
            </a:ext>
          </a:extLst>
        </xdr:cNvPr>
        <xdr:cNvSpPr/>
      </xdr:nvSpPr>
      <xdr:spPr>
        <a:xfrm>
          <a:off x="3968750" y="1733550"/>
          <a:ext cx="3740150" cy="7493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Launch</a:t>
          </a:r>
          <a:r>
            <a:rPr lang="en-US" sz="4000" baseline="0"/>
            <a:t> Form</a:t>
          </a:r>
          <a:endParaRPr lang="en-US" sz="40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DE26C1-E088-42FD-B81A-6C53BD8BB44A}" name="Table1" displayName="Table1" ref="C8:K41" totalsRowShown="0">
  <tableColumns count="9">
    <tableColumn id="1" xr3:uid="{44D2E9B9-F6B6-47A1-8B7F-C886F50AFB42}" name="Row ID"/>
    <tableColumn id="2" xr3:uid="{EE8F355E-2D8A-4C11-9584-27D5F8DC23AA}" name="Order Priority"/>
    <tableColumn id="3" xr3:uid="{0F25F4BF-3573-4E12-A554-B3D179577CB0}" name="Quantity ordered"/>
    <tableColumn id="4" xr3:uid="{C5097EAC-BB30-4979-9451-88290485F31E}" name="Unit Price"/>
    <tableColumn id="5" xr3:uid="{68F6C083-03ED-4F7A-BCAE-DFC323CCC589}" name="Shipping Cost"/>
    <tableColumn id="6" xr3:uid="{89B8CF5F-D31C-44B2-8B78-6699B237BEBD}" name="Sales amount" dataDxfId="2">
      <calculatedColumnFormula>Table1[[#This Row],[Quantity ordered]]*Table1[[#This Row],[Unit Price]]</calculatedColumnFormula>
    </tableColumn>
    <tableColumn id="7" xr3:uid="{FA8A6004-6425-45BE-B9A1-2F03C81249FF}" name="Product Margin per unit"/>
    <tableColumn id="8" xr3:uid="{5D1E2B59-857F-48DE-95A8-341A332C6E1F}" name="Profit" dataDxfId="1">
      <calculatedColumnFormula>(Table1[[#This Row],[Quantity ordered]]*Table1[[#This Row],[Product Margin per unit]])-Table1[[#This Row],[Shipping Cost]]</calculatedColumnFormula>
    </tableColumn>
    <tableColumn id="9" xr3:uid="{7210A48D-FFAB-47DA-A61E-1248DA2EEF38}" name="Profit %" dataDxfId="0">
      <calculatedColumnFormula>Table1[[#This Row],[Profit]]/Table1[[#This Row],[Sales amount]]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>
      <selection activeCell="H10" sqref="H10"/>
    </sheetView>
  </sheetViews>
  <sheetFormatPr defaultRowHeight="14.5" x14ac:dyDescent="0.35"/>
  <cols>
    <col min="4" max="4" width="14.1796875" customWidth="1"/>
    <col min="5" max="5" width="18" bestFit="1" customWidth="1"/>
    <col min="6" max="6" width="10.7265625" customWidth="1"/>
    <col min="7" max="7" width="14" customWidth="1"/>
    <col min="8" max="8" width="18" bestFit="1" customWidth="1"/>
    <col min="9" max="9" width="22.6328125" customWidth="1"/>
    <col min="11" max="11" width="9.26953125" customWidth="1"/>
  </cols>
  <sheetData>
    <row r="2" spans="3:11" x14ac:dyDescent="0.35">
      <c r="C2" s="1" t="s">
        <v>0</v>
      </c>
      <c r="I2" s="1" t="s">
        <v>19</v>
      </c>
    </row>
    <row r="3" spans="3:11" x14ac:dyDescent="0.35">
      <c r="C3" s="1" t="s">
        <v>1</v>
      </c>
    </row>
    <row r="4" spans="3:11" x14ac:dyDescent="0.35">
      <c r="C4" s="1" t="s">
        <v>16</v>
      </c>
    </row>
    <row r="5" spans="3:11" x14ac:dyDescent="0.35">
      <c r="C5" s="1" t="s">
        <v>17</v>
      </c>
    </row>
    <row r="6" spans="3:11" x14ac:dyDescent="0.35">
      <c r="C6" s="1" t="s">
        <v>18</v>
      </c>
    </row>
    <row r="8" spans="3:11" x14ac:dyDescent="0.3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Table1[[#This Row],[Quantity ordered]]*Table1[[#This Row],[Unit Price]]</f>
        <v>11.36</v>
      </c>
      <c r="I9">
        <v>0.54</v>
      </c>
      <c r="J9">
        <f>(Table1[[#This Row],[Quantity ordered]]*Table1[[#This Row],[Product Margin per unit]])-Table1[[#This Row],[Shipping Cost]]</f>
        <v>1.23</v>
      </c>
      <c r="K9" s="2">
        <f>Table1[[#This Row],[Profit]]/Table1[[#This Row],[Sales amount]]</f>
        <v>0.10827464788732395</v>
      </c>
    </row>
    <row r="10" spans="3:11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H10">
        <f>Table1[[#This Row],[Quantity ordered]]*Table1[[#This Row],[Unit Price]]</f>
        <v>6011.76</v>
      </c>
      <c r="I10">
        <v>0.6</v>
      </c>
      <c r="J10">
        <f>(Table1[[#This Row],[Quantity ordered]]*Table1[[#This Row],[Product Margin per unit]])-Table1[[#This Row],[Shipping Cost]]</f>
        <v>-18.8</v>
      </c>
      <c r="K10" s="2">
        <f>Table1[[#This Row],[Profit]]/Table1[[#This Row],[Sales amount]]</f>
        <v>-3.1272040134669382E-3</v>
      </c>
    </row>
    <row r="11" spans="3:11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H11">
        <f>Table1[[#This Row],[Quantity ordered]]*Table1[[#This Row],[Unit Price]]</f>
        <v>208.56</v>
      </c>
      <c r="I11">
        <v>0.45</v>
      </c>
      <c r="J11">
        <f>(Table1[[#This Row],[Quantity ordered]]*Table1[[#This Row],[Product Margin per unit]])-Table1[[#This Row],[Shipping Cost]]</f>
        <v>2.6100000000000003</v>
      </c>
      <c r="K11" s="2">
        <f>Table1[[#This Row],[Profit]]/Table1[[#This Row],[Sales amount]]</f>
        <v>1.2514384349827389E-2</v>
      </c>
    </row>
    <row r="12" spans="3:11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>Table1[[#This Row],[Quantity ordered]]*Table1[[#This Row],[Unit Price]]</f>
        <v>1259.04</v>
      </c>
      <c r="I12">
        <v>0.43</v>
      </c>
      <c r="J12">
        <f>(Table1[[#This Row],[Quantity ordered]]*Table1[[#This Row],[Product Margin per unit]])-Table1[[#This Row],[Shipping Cost]]</f>
        <v>-13.11</v>
      </c>
      <c r="K12" s="2">
        <f>Table1[[#This Row],[Profit]]/Table1[[#This Row],[Sales amount]]</f>
        <v>-1.0412695386961494E-2</v>
      </c>
    </row>
    <row r="13" spans="3:11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H13">
        <f>Table1[[#This Row],[Quantity ordered]]*Table1[[#This Row],[Unit Price]]</f>
        <v>22.959999999999997</v>
      </c>
      <c r="I13">
        <v>0.56000000000000005</v>
      </c>
      <c r="J13">
        <f>(Table1[[#This Row],[Quantity ordered]]*Table1[[#This Row],[Product Margin per unit]])-Table1[[#This Row],[Shipping Cost]]</f>
        <v>1.6100000000000003</v>
      </c>
      <c r="K13" s="2">
        <f>Table1[[#This Row],[Profit]]/Table1[[#This Row],[Sales amount]]</f>
        <v>7.0121951219512216E-2</v>
      </c>
    </row>
    <row r="14" spans="3:11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H14">
        <f>Table1[[#This Row],[Quantity ordered]]*Table1[[#This Row],[Unit Price]]</f>
        <v>13.12</v>
      </c>
      <c r="I14">
        <v>0.56000000000000005</v>
      </c>
      <c r="J14">
        <f>(Table1[[#This Row],[Quantity ordered]]*Table1[[#This Row],[Product Margin per unit]])-Table1[[#This Row],[Shipping Cost]]</f>
        <v>-1.96</v>
      </c>
      <c r="K14" s="2">
        <f>Table1[[#This Row],[Profit]]/Table1[[#This Row],[Sales amount]]</f>
        <v>-0.14939024390243902</v>
      </c>
    </row>
    <row r="15" spans="3:11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H15">
        <f>Table1[[#This Row],[Quantity ordered]]*Table1[[#This Row],[Unit Price]]</f>
        <v>14.32</v>
      </c>
      <c r="I15">
        <v>0.36</v>
      </c>
      <c r="J15">
        <f>(Table1[[#This Row],[Quantity ordered]]*Table1[[#This Row],[Product Margin per unit]])-Table1[[#This Row],[Shipping Cost]]</f>
        <v>-0.18999999999999995</v>
      </c>
      <c r="K15" s="2">
        <f>Table1[[#This Row],[Profit]]/Table1[[#This Row],[Sales amount]]</f>
        <v>-1.3268156424581002E-2</v>
      </c>
    </row>
    <row r="16" spans="3:11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H16">
        <f>Table1[[#This Row],[Quantity ordered]]*Table1[[#This Row],[Unit Price]]</f>
        <v>30.939999999999998</v>
      </c>
      <c r="I16">
        <v>0.38</v>
      </c>
      <c r="J16">
        <f>(Table1[[#This Row],[Quantity ordered]]*Table1[[#This Row],[Product Margin per unit]])-Table1[[#This Row],[Shipping Cost]]</f>
        <v>-2.33</v>
      </c>
      <c r="K16" s="2">
        <f>Table1[[#This Row],[Profit]]/Table1[[#This Row],[Sales amount]]</f>
        <v>-7.5307045895281199E-2</v>
      </c>
    </row>
    <row r="17" spans="3:11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>Table1[[#This Row],[Quantity ordered]]*Table1[[#This Row],[Unit Price]]</f>
        <v>359.4</v>
      </c>
      <c r="I17">
        <v>0.4</v>
      </c>
      <c r="J17">
        <f>(Table1[[#This Row],[Quantity ordered]]*Table1[[#This Row],[Product Margin per unit]])-Table1[[#This Row],[Shipping Cost]]</f>
        <v>-2.66</v>
      </c>
      <c r="K17" s="2">
        <f>Table1[[#This Row],[Profit]]/Table1[[#This Row],[Sales amount]]</f>
        <v>-7.4012242626599898E-3</v>
      </c>
    </row>
    <row r="18" spans="3:11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H18">
        <f>Table1[[#This Row],[Quantity ordered]]*Table1[[#This Row],[Unit Price]]</f>
        <v>17.88</v>
      </c>
      <c r="I18">
        <v>0.39</v>
      </c>
      <c r="J18">
        <f>(Table1[[#This Row],[Quantity ordered]]*Table1[[#This Row],[Product Margin per unit]])-Table1[[#This Row],[Shipping Cost]]</f>
        <v>0.75999999999999979</v>
      </c>
      <c r="K18" s="2">
        <f>Table1[[#This Row],[Profit]]/Table1[[#This Row],[Sales amount]]</f>
        <v>4.25055928411633E-2</v>
      </c>
    </row>
    <row r="19" spans="3:11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>Table1[[#This Row],[Quantity ordered]]*Table1[[#This Row],[Unit Price]]</f>
        <v>1159.8999999999999</v>
      </c>
      <c r="I19">
        <v>0.55000000000000004</v>
      </c>
      <c r="J19">
        <f>(Table1[[#This Row],[Quantity ordered]]*Table1[[#This Row],[Product Margin per unit]])-Table1[[#This Row],[Shipping Cost]]</f>
        <v>3</v>
      </c>
      <c r="K19" s="2">
        <f>Table1[[#This Row],[Profit]]/Table1[[#This Row],[Sales amount]]</f>
        <v>2.5864298646435043E-3</v>
      </c>
    </row>
    <row r="20" spans="3:11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>Table1[[#This Row],[Quantity ordered]]*Table1[[#This Row],[Unit Price]]</f>
        <v>450.16</v>
      </c>
      <c r="I20">
        <v>0.49</v>
      </c>
      <c r="J20">
        <f>(Table1[[#This Row],[Quantity ordered]]*Table1[[#This Row],[Product Margin per unit]])-Table1[[#This Row],[Shipping Cost]]</f>
        <v>1.4000000000000004</v>
      </c>
      <c r="K20" s="2">
        <f>Table1[[#This Row],[Profit]]/Table1[[#This Row],[Sales amount]]</f>
        <v>3.1100053314377118E-3</v>
      </c>
    </row>
    <row r="21" spans="3:11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>Table1[[#This Row],[Quantity ordered]]*Table1[[#This Row],[Unit Price]]</f>
        <v>233.82</v>
      </c>
      <c r="I21">
        <v>0.39</v>
      </c>
      <c r="J21">
        <f>(Table1[[#This Row],[Quantity ordered]]*Table1[[#This Row],[Product Margin per unit]])-Table1[[#This Row],[Shipping Cost]]</f>
        <v>-2.419999999999999</v>
      </c>
      <c r="K21" s="2">
        <f>Table1[[#This Row],[Profit]]/Table1[[#This Row],[Sales amount]]</f>
        <v>-1.0349841758617737E-2</v>
      </c>
    </row>
    <row r="22" spans="3:11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H22">
        <f>Table1[[#This Row],[Quantity ordered]]*Table1[[#This Row],[Unit Price]]</f>
        <v>1853.6000000000001</v>
      </c>
      <c r="I22">
        <v>0.49</v>
      </c>
      <c r="J22">
        <f>(Table1[[#This Row],[Quantity ordered]]*Table1[[#This Row],[Product Margin per unit]])-Table1[[#This Row],[Shipping Cost]]</f>
        <v>27.369999999999997</v>
      </c>
      <c r="K22" s="2">
        <f>Table1[[#This Row],[Profit]]/Table1[[#This Row],[Sales amount]]</f>
        <v>1.476586102719033E-2</v>
      </c>
    </row>
    <row r="23" spans="3:11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H23">
        <f>Table1[[#This Row],[Quantity ordered]]*Table1[[#This Row],[Unit Price]]</f>
        <v>290</v>
      </c>
      <c r="I23">
        <v>0.37</v>
      </c>
      <c r="J23">
        <f>(Table1[[#This Row],[Quantity ordered]]*Table1[[#This Row],[Product Margin per unit]])-Table1[[#This Row],[Shipping Cost]]</f>
        <v>18.07</v>
      </c>
      <c r="K23" s="2">
        <f>Table1[[#This Row],[Profit]]/Table1[[#This Row],[Sales amount]]</f>
        <v>6.2310344827586205E-2</v>
      </c>
    </row>
    <row r="24" spans="3:11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H24">
        <f>Table1[[#This Row],[Quantity ordered]]*Table1[[#This Row],[Unit Price]]</f>
        <v>922.29</v>
      </c>
      <c r="I24">
        <v>0.39</v>
      </c>
      <c r="J24">
        <f>(Table1[[#This Row],[Quantity ordered]]*Table1[[#This Row],[Product Margin per unit]])-Table1[[#This Row],[Shipping Cost]]</f>
        <v>18.25</v>
      </c>
      <c r="K24" s="2">
        <f>Table1[[#This Row],[Profit]]/Table1[[#This Row],[Sales amount]]</f>
        <v>1.9787702349586357E-2</v>
      </c>
    </row>
    <row r="25" spans="3:11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H25">
        <f>Table1[[#This Row],[Quantity ordered]]*Table1[[#This Row],[Unit Price]]</f>
        <v>55.48</v>
      </c>
      <c r="I25">
        <v>0.37</v>
      </c>
      <c r="J25">
        <f>(Table1[[#This Row],[Quantity ordered]]*Table1[[#This Row],[Product Margin per unit]])-Table1[[#This Row],[Shipping Cost]]</f>
        <v>-13.930000000000001</v>
      </c>
      <c r="K25" s="2">
        <f>Table1[[#This Row],[Profit]]/Table1[[#This Row],[Sales amount]]</f>
        <v>-0.25108147080028842</v>
      </c>
    </row>
    <row r="26" spans="3:11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H26">
        <f>Table1[[#This Row],[Quantity ordered]]*Table1[[#This Row],[Unit Price]]</f>
        <v>1.68</v>
      </c>
      <c r="I26">
        <v>0.59</v>
      </c>
      <c r="J26">
        <f>(Table1[[#This Row],[Quantity ordered]]*Table1[[#This Row],[Product Margin per unit]])-Table1[[#This Row],[Shipping Cost]]</f>
        <v>-0.98000000000000009</v>
      </c>
      <c r="K26" s="2">
        <f>Table1[[#This Row],[Profit]]/Table1[[#This Row],[Sales amount]]</f>
        <v>-0.58333333333333337</v>
      </c>
    </row>
    <row r="27" spans="3:11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>Table1[[#This Row],[Quantity ordered]]*Table1[[#This Row],[Unit Price]]</f>
        <v>49.679999999999993</v>
      </c>
      <c r="I27">
        <v>0.49</v>
      </c>
      <c r="J27">
        <f>(Table1[[#This Row],[Quantity ordered]]*Table1[[#This Row],[Product Margin per unit]])-Table1[[#This Row],[Shipping Cost]]</f>
        <v>-0.71999999999999975</v>
      </c>
      <c r="K27" s="2">
        <f>Table1[[#This Row],[Profit]]/Table1[[#This Row],[Sales amount]]</f>
        <v>-1.4492753623188403E-2</v>
      </c>
    </row>
    <row r="28" spans="3:11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>Table1[[#This Row],[Quantity ordered]]*Table1[[#This Row],[Unit Price]]</f>
        <v>454.87</v>
      </c>
      <c r="I28">
        <v>0.59</v>
      </c>
      <c r="J28">
        <f>(Table1[[#This Row],[Quantity ordered]]*Table1[[#This Row],[Product Margin per unit]])-Table1[[#This Row],[Shipping Cost]]</f>
        <v>-6.0000000000000497E-2</v>
      </c>
      <c r="K28" s="2">
        <f>Table1[[#This Row],[Profit]]/Table1[[#This Row],[Sales amount]]</f>
        <v>-1.3190581924506012E-4</v>
      </c>
    </row>
    <row r="29" spans="3:11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H29">
        <f>Table1[[#This Row],[Quantity ordered]]*Table1[[#This Row],[Unit Price]]</f>
        <v>35.96</v>
      </c>
      <c r="I29">
        <v>0.4</v>
      </c>
      <c r="J29">
        <f>(Table1[[#This Row],[Quantity ordered]]*Table1[[#This Row],[Product Margin per unit]])-Table1[[#This Row],[Shipping Cost]]</f>
        <v>-7.71</v>
      </c>
      <c r="K29" s="2">
        <f>Table1[[#This Row],[Profit]]/Table1[[#This Row],[Sales amount]]</f>
        <v>-0.21440489432703003</v>
      </c>
    </row>
    <row r="30" spans="3:11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>Table1[[#This Row],[Quantity ordered]]*Table1[[#This Row],[Unit Price]]</f>
        <v>1007.92</v>
      </c>
      <c r="I30">
        <v>0.59</v>
      </c>
      <c r="J30">
        <f>(Table1[[#This Row],[Quantity ordered]]*Table1[[#This Row],[Product Margin per unit]])-Table1[[#This Row],[Shipping Cost]]</f>
        <v>-2.9700000000000006</v>
      </c>
      <c r="K30" s="2">
        <f>Table1[[#This Row],[Profit]]/Table1[[#This Row],[Sales amount]]</f>
        <v>-2.9466624335264713E-3</v>
      </c>
    </row>
    <row r="31" spans="3:11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>Table1[[#This Row],[Quantity ordered]]*Table1[[#This Row],[Unit Price]]</f>
        <v>4531.7800000000007</v>
      </c>
      <c r="I31">
        <v>0.56000000000000005</v>
      </c>
      <c r="J31">
        <f>(Table1[[#This Row],[Quantity ordered]]*Table1[[#This Row],[Product Margin per unit]])-Table1[[#This Row],[Shipping Cost]]</f>
        <v>3.33</v>
      </c>
      <c r="K31" s="2">
        <f>Table1[[#This Row],[Profit]]/Table1[[#This Row],[Sales amount]]</f>
        <v>7.3481060422174059E-4</v>
      </c>
    </row>
    <row r="32" spans="3:11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H32">
        <f>Table1[[#This Row],[Quantity ordered]]*Table1[[#This Row],[Unit Price]]</f>
        <v>55.120000000000005</v>
      </c>
      <c r="I32">
        <v>0.35</v>
      </c>
      <c r="J32">
        <f>(Table1[[#This Row],[Quantity ordered]]*Table1[[#This Row],[Product Margin per unit]])-Table1[[#This Row],[Shipping Cost]]</f>
        <v>-0.86000000000000032</v>
      </c>
      <c r="K32" s="2">
        <f>Table1[[#This Row],[Profit]]/Table1[[#This Row],[Sales amount]]</f>
        <v>-1.5602322206095795E-2</v>
      </c>
    </row>
    <row r="33" spans="3:11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H33">
        <f>Table1[[#This Row],[Quantity ordered]]*Table1[[#This Row],[Unit Price]]</f>
        <v>52.92</v>
      </c>
      <c r="I33">
        <v>0.57999999999999996</v>
      </c>
      <c r="J33">
        <f>(Table1[[#This Row],[Quantity ordered]]*Table1[[#This Row],[Product Margin per unit]])-Table1[[#This Row],[Shipping Cost]]</f>
        <v>9.74</v>
      </c>
      <c r="K33" s="2">
        <f>Table1[[#This Row],[Profit]]/Table1[[#This Row],[Sales amount]]</f>
        <v>0.18405139833711262</v>
      </c>
    </row>
    <row r="34" spans="3:11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>Table1[[#This Row],[Quantity ordered]]*Table1[[#This Row],[Unit Price]]</f>
        <v>599.93999999999994</v>
      </c>
      <c r="I34">
        <v>0.52</v>
      </c>
      <c r="J34">
        <f>(Table1[[#This Row],[Quantity ordered]]*Table1[[#This Row],[Product Margin per unit]])-Table1[[#This Row],[Shipping Cost]]</f>
        <v>-16.869999999999997</v>
      </c>
      <c r="K34" s="2">
        <f>Table1[[#This Row],[Profit]]/Table1[[#This Row],[Sales amount]]</f>
        <v>-2.8119478614528119E-2</v>
      </c>
    </row>
    <row r="35" spans="3:11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H35">
        <f>Table1[[#This Row],[Quantity ordered]]*Table1[[#This Row],[Unit Price]]</f>
        <v>695.93999999999994</v>
      </c>
      <c r="I35">
        <v>0.56999999999999995</v>
      </c>
      <c r="J35">
        <f>(Table1[[#This Row],[Quantity ordered]]*Table1[[#This Row],[Product Margin per unit]])-Table1[[#This Row],[Shipping Cost]]</f>
        <v>0.91999999999999993</v>
      </c>
      <c r="K35" s="2">
        <f>Table1[[#This Row],[Profit]]/Table1[[#This Row],[Sales amount]]</f>
        <v>1.321953041928902E-3</v>
      </c>
    </row>
    <row r="36" spans="3:11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>Table1[[#This Row],[Quantity ordered]]*Table1[[#This Row],[Unit Price]]</f>
        <v>3502.14</v>
      </c>
      <c r="I36">
        <v>0.56999999999999995</v>
      </c>
      <c r="J36">
        <f>(Table1[[#This Row],[Quantity ordered]]*Table1[[#This Row],[Product Margin per unit]])-Table1[[#This Row],[Shipping Cost]]</f>
        <v>-8.16</v>
      </c>
      <c r="K36" s="2">
        <f>Table1[[#This Row],[Profit]]/Table1[[#This Row],[Sales amount]]</f>
        <v>-2.3300039404478405E-3</v>
      </c>
    </row>
    <row r="37" spans="3:11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>Table1[[#This Row],[Quantity ordered]]*Table1[[#This Row],[Unit Price]]</f>
        <v>2991.83</v>
      </c>
      <c r="I37">
        <v>0.36</v>
      </c>
      <c r="J37">
        <f>(Table1[[#This Row],[Quantity ordered]]*Table1[[#This Row],[Product Margin per unit]])-Table1[[#This Row],[Shipping Cost]]</f>
        <v>0.33000000000000007</v>
      </c>
      <c r="K37" s="2">
        <f>Table1[[#This Row],[Profit]]/Table1[[#This Row],[Sales amount]]</f>
        <v>1.1030038471437217E-4</v>
      </c>
    </row>
    <row r="38" spans="3:11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>Table1[[#This Row],[Quantity ordered]]*Table1[[#This Row],[Unit Price]]</f>
        <v>3101.2</v>
      </c>
      <c r="I38">
        <v>0.38</v>
      </c>
      <c r="J38">
        <f>(Table1[[#This Row],[Quantity ordered]]*Table1[[#This Row],[Product Margin per unit]])-Table1[[#This Row],[Shipping Cost]]</f>
        <v>6.1099999999999994</v>
      </c>
      <c r="K38" s="2">
        <f>Table1[[#This Row],[Profit]]/Table1[[#This Row],[Sales amount]]</f>
        <v>1.9702050819037789E-3</v>
      </c>
    </row>
    <row r="39" spans="3:11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H39">
        <f>Table1[[#This Row],[Quantity ordered]]*Table1[[#This Row],[Unit Price]]</f>
        <v>101.66000000000001</v>
      </c>
      <c r="I39">
        <v>0.56000000000000005</v>
      </c>
      <c r="J39">
        <f>(Table1[[#This Row],[Quantity ordered]]*Table1[[#This Row],[Product Margin per unit]])-Table1[[#This Row],[Shipping Cost]]</f>
        <v>8.8200000000000021</v>
      </c>
      <c r="K39" s="2">
        <f>Table1[[#This Row],[Profit]]/Table1[[#This Row],[Sales amount]]</f>
        <v>8.6759787527050963E-2</v>
      </c>
    </row>
    <row r="40" spans="3:11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H40">
        <f>Table1[[#This Row],[Quantity ordered]]*Table1[[#This Row],[Unit Price]]</f>
        <v>87.42</v>
      </c>
      <c r="I40">
        <v>0.36</v>
      </c>
      <c r="J40">
        <f>(Table1[[#This Row],[Quantity ordered]]*Table1[[#This Row],[Product Margin per unit]])-Table1[[#This Row],[Shipping Cost]]</f>
        <v>-4.07</v>
      </c>
      <c r="K40" s="2">
        <f>Table1[[#This Row],[Profit]]/Table1[[#This Row],[Sales amount]]</f>
        <v>-4.6556851978952186E-2</v>
      </c>
    </row>
    <row r="41" spans="3:11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>Table1[[#This Row],[Quantity ordered]]*Table1[[#This Row],[Unit Price]]</f>
        <v>62.73</v>
      </c>
      <c r="I41">
        <v>0.38</v>
      </c>
      <c r="J41">
        <f>(Table1[[#This Row],[Quantity ordered]]*Table1[[#This Row],[Product Margin per unit]])-Table1[[#This Row],[Shipping Cost]]</f>
        <v>1.5999999999999996</v>
      </c>
      <c r="K41" s="2">
        <f>Table1[[#This Row],[Profit]]/Table1[[#This Row],[Sales amount]]</f>
        <v>2.5506137414315316E-2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1:J15"/>
  <sheetViews>
    <sheetView showGridLines="0" topLeftCell="A6" workbookViewId="0">
      <selection activeCell="J20" sqref="J20"/>
    </sheetView>
  </sheetViews>
  <sheetFormatPr defaultRowHeight="14.5" x14ac:dyDescent="0.35"/>
  <cols>
    <col min="2" max="2" width="8.90625" customWidth="1"/>
    <col min="3" max="3" width="9.08984375" customWidth="1"/>
    <col min="5" max="5" width="10" bestFit="1" customWidth="1"/>
    <col min="6" max="6" width="11.1796875" customWidth="1"/>
  </cols>
  <sheetData>
    <row r="1" spans="1:10" ht="2" customHeight="1" x14ac:dyDescent="0.35"/>
    <row r="3" spans="1:10" x14ac:dyDescent="0.35">
      <c r="C3" s="1" t="s">
        <v>2</v>
      </c>
    </row>
    <row r="4" spans="1:10" x14ac:dyDescent="0.35">
      <c r="C4" s="1" t="s">
        <v>20</v>
      </c>
    </row>
    <row r="6" spans="1:10" x14ac:dyDescent="0.35">
      <c r="E6" s="4"/>
    </row>
    <row r="8" spans="1:10" ht="14" customHeight="1" x14ac:dyDescent="1">
      <c r="A8" s="5"/>
    </row>
    <row r="14" spans="1:10" ht="14" customHeight="1" x14ac:dyDescent="0.35"/>
    <row r="15" spans="1:10" x14ac:dyDescent="0.35">
      <c r="J15" s="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78352-5961-4415-B295-F1600AE4E171}">
  <sheetPr codeName="Sheet3"/>
  <dimension ref="A1:I21"/>
  <sheetViews>
    <sheetView showGridLines="0" workbookViewId="0">
      <selection activeCell="G2" sqref="G2"/>
    </sheetView>
  </sheetViews>
  <sheetFormatPr defaultRowHeight="14.5" x14ac:dyDescent="0.35"/>
  <cols>
    <col min="1" max="1" width="11.453125" customWidth="1"/>
    <col min="2" max="2" width="17.26953125" customWidth="1"/>
    <col min="3" max="3" width="21.08984375" customWidth="1"/>
    <col min="4" max="4" width="11.6328125" customWidth="1"/>
    <col min="5" max="5" width="20.26953125" customWidth="1"/>
    <col min="6" max="6" width="10.08984375" customWidth="1"/>
    <col min="8" max="8" width="16.26953125" customWidth="1"/>
    <col min="9" max="9" width="17.81640625" customWidth="1"/>
  </cols>
  <sheetData>
    <row r="1" spans="1:9" ht="15.5" x14ac:dyDescent="0.35">
      <c r="A1" s="6" t="s">
        <v>22</v>
      </c>
      <c r="B1" s="6" t="s">
        <v>27</v>
      </c>
      <c r="C1" s="6" t="s">
        <v>28</v>
      </c>
      <c r="D1" s="6" t="s">
        <v>23</v>
      </c>
      <c r="E1" s="6" t="s">
        <v>24</v>
      </c>
      <c r="F1" s="6" t="s">
        <v>25</v>
      </c>
      <c r="G1" s="6" t="s">
        <v>26</v>
      </c>
      <c r="H1" s="6" t="s">
        <v>29</v>
      </c>
      <c r="I1" s="6" t="s">
        <v>30</v>
      </c>
    </row>
    <row r="2" spans="1:9" x14ac:dyDescent="0.35">
      <c r="A2" s="7">
        <v>1</v>
      </c>
      <c r="B2" s="7">
        <v>100</v>
      </c>
      <c r="C2" s="7" t="s">
        <v>42</v>
      </c>
      <c r="D2" s="7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</row>
    <row r="3" spans="1:9" x14ac:dyDescent="0.35">
      <c r="A3" s="7">
        <v>2</v>
      </c>
      <c r="B3" s="7">
        <v>122</v>
      </c>
      <c r="C3" s="7" t="s">
        <v>43</v>
      </c>
      <c r="D3" s="7" t="s">
        <v>31</v>
      </c>
      <c r="E3" s="7" t="s">
        <v>32</v>
      </c>
      <c r="F3" s="7" t="s">
        <v>33</v>
      </c>
      <c r="G3" s="7" t="s">
        <v>34</v>
      </c>
      <c r="H3" s="7" t="s">
        <v>35</v>
      </c>
      <c r="I3" s="7" t="s">
        <v>37</v>
      </c>
    </row>
    <row r="4" spans="1:9" x14ac:dyDescent="0.35">
      <c r="A4" s="7">
        <v>3</v>
      </c>
      <c r="B4" s="7">
        <v>133</v>
      </c>
      <c r="C4" s="7" t="s">
        <v>44</v>
      </c>
      <c r="D4" s="7" t="s">
        <v>31</v>
      </c>
      <c r="E4" s="7" t="s">
        <v>38</v>
      </c>
      <c r="F4" s="7" t="s">
        <v>33</v>
      </c>
      <c r="G4" s="7" t="s">
        <v>34</v>
      </c>
      <c r="H4" s="7" t="s">
        <v>35</v>
      </c>
      <c r="I4" s="7" t="s">
        <v>39</v>
      </c>
    </row>
    <row r="5" spans="1:9" x14ac:dyDescent="0.35">
      <c r="A5" s="7">
        <v>4</v>
      </c>
      <c r="B5" s="7">
        <v>155</v>
      </c>
      <c r="C5" s="7" t="s">
        <v>45</v>
      </c>
      <c r="D5" s="7" t="s">
        <v>31</v>
      </c>
      <c r="E5" s="7" t="s">
        <v>40</v>
      </c>
      <c r="F5" s="7" t="s">
        <v>33</v>
      </c>
      <c r="G5" s="7" t="s">
        <v>34</v>
      </c>
      <c r="H5" s="7" t="s">
        <v>35</v>
      </c>
      <c r="I5" s="7" t="s">
        <v>41</v>
      </c>
    </row>
    <row r="6" spans="1:9" x14ac:dyDescent="0.35">
      <c r="A6" s="7">
        <v>5</v>
      </c>
      <c r="B6" s="7">
        <v>150</v>
      </c>
      <c r="C6" s="7" t="s">
        <v>48</v>
      </c>
      <c r="D6" s="7" t="s">
        <v>46</v>
      </c>
      <c r="E6" s="7" t="s">
        <v>40</v>
      </c>
      <c r="F6" s="7" t="s">
        <v>33</v>
      </c>
      <c r="G6" s="7" t="s">
        <v>34</v>
      </c>
      <c r="H6" s="7" t="s">
        <v>35</v>
      </c>
      <c r="I6" s="7" t="s">
        <v>47</v>
      </c>
    </row>
    <row r="7" spans="1:9" x14ac:dyDescent="0.35">
      <c r="A7" s="7">
        <v>6</v>
      </c>
      <c r="B7" s="7">
        <v>444</v>
      </c>
      <c r="C7" s="7" t="s">
        <v>49</v>
      </c>
      <c r="D7" s="7" t="s">
        <v>46</v>
      </c>
      <c r="E7" s="7" t="s">
        <v>32</v>
      </c>
      <c r="F7" s="7" t="s">
        <v>50</v>
      </c>
      <c r="G7" s="7" t="s">
        <v>51</v>
      </c>
      <c r="H7" s="7" t="s">
        <v>35</v>
      </c>
      <c r="I7" s="7" t="s">
        <v>52</v>
      </c>
    </row>
    <row r="8" spans="1:9" x14ac:dyDescent="0.35">
      <c r="A8" s="7"/>
      <c r="B8" s="7"/>
      <c r="C8" s="7"/>
      <c r="D8" s="7"/>
      <c r="E8" s="7"/>
      <c r="F8" s="7"/>
      <c r="G8" s="7"/>
      <c r="H8" s="7"/>
      <c r="I8" s="7"/>
    </row>
    <row r="9" spans="1:9" x14ac:dyDescent="0.35">
      <c r="A9" s="7"/>
      <c r="B9" s="7"/>
      <c r="C9" s="7"/>
      <c r="D9" s="7"/>
      <c r="E9" s="7"/>
      <c r="F9" s="7"/>
      <c r="G9" s="7"/>
      <c r="H9" s="7"/>
      <c r="I9" s="7"/>
    </row>
    <row r="10" spans="1:9" x14ac:dyDescent="0.35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35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35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35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35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35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35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35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35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35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35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35">
      <c r="A21" s="7"/>
      <c r="B21" s="7"/>
      <c r="C21" s="7"/>
      <c r="D21" s="7"/>
      <c r="E21" s="7"/>
      <c r="F21" s="7"/>
      <c r="G21" s="7"/>
      <c r="H21" s="7"/>
      <c r="I21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komal jain</cp:lastModifiedBy>
  <dcterms:created xsi:type="dcterms:W3CDTF">2015-06-05T18:17:20Z</dcterms:created>
  <dcterms:modified xsi:type="dcterms:W3CDTF">2023-10-31T09:46:26Z</dcterms:modified>
</cp:coreProperties>
</file>